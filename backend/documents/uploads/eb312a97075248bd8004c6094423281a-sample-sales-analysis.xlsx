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6247bc488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61b2e07acfe74265"/>
    <x:sheet xmlns:r="http://schemas.openxmlformats.org/officeDocument/2006/relationships" name="Analysis" sheetId="2" r:id="R0c508130a37840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#,##0 &quot;TRY&quot;"/>
    <x:numFmt numFmtId="203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C2F55"/>
      </x:patternFill>
    </x:fill>
    <x:fill>
      <x:patternFill patternType="solid">
        <x:fgColor rgb="FF7D41A6"/>
      </x:patternFill>
    </x:fill>
  </x:fills>
  <x:borders count="12">
    <x:border/>
    <x:border>
      <x:bottom style="thin">
        <x:color rgb="FFE4DFEB"/>
      </x:bottom>
    </x:border>
    <x:border>
      <x:top style="thin">
        <x:color rgb="FFE4DFEB"/>
      </x:top>
      <x:bottom style="thin">
        <x:color rgb="FFE4DFEB"/>
      </x:bottom>
    </x:border>
    <x:border>
      <x:top style="thin">
        <x:color rgb="FFE4DFEB"/>
      </x:top>
    </x:border>
    <x:border>
      <x:left style="thin">
        <x:color rgb="FFD9D0E0"/>
      </x:left>
      <x:top style="thin">
        <x:color rgb="FFD9D0E0"/>
      </x:top>
    </x:border>
    <x:border>
      <x:right style="thin">
        <x:color rgb="FFD9D0E0"/>
      </x:right>
      <x:top style="thin">
        <x:color rgb="FFD9D0E0"/>
      </x:top>
    </x:border>
    <x:border>
      <x:left style="thin">
        <x:color rgb="FFD9D0E0"/>
      </x:left>
    </x:border>
    <x:border>
      <x:right style="thin">
        <x:color rgb="FFD9D0E0"/>
      </x:right>
    </x:border>
    <x:border>
      <x:left style="thin">
        <x:color rgb="FFD9D0E0"/>
      </x:left>
      <x:bottom style="thin">
        <x:color rgb="FFD9D0E0"/>
      </x:bottom>
    </x:border>
    <x:border>
      <x:right style="thin">
        <x:color rgb="FFD9D0E0"/>
      </x:right>
      <x:bottom style="thin">
        <x:color rgb="FFD9D0E0"/>
      </x:bottom>
    </x:border>
    <x:border>
      <x:top style="thin">
        <x:color rgb="FFD9D0E0"/>
      </x:top>
    </x:border>
    <x:border>
      <x:bottom style="thin">
        <x:color rgb="FFD9D0E0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0" fillId="0" borderId="1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  <x:xf numFmtId="203" fontId="0" fillId="0" borderId="1" xfId="0" applyNumberFormat="1" applyFont="1" applyFill="1" applyBorder="1"/>
    <x:xf numFmtId="203" fontId="0" fillId="0" borderId="2" xfId="0" applyNumberFormat="1" applyFont="1" applyFill="1" applyBorder="1"/>
    <x:xf numFmtId="203" fontId="0" fillId="0" borderId="3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0" fillId="0" borderId="6" xfId="0" applyNumberFormat="1" applyFont="1" applyFill="1" applyBorder="1"/>
    <x:xf numFmtId="202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  <x:xf numFmtId="203" fontId="0" fillId="0" borderId="9" xfId="0" applyNumberFormat="1" applyFont="1" applyFill="1" applyBorder="1"/>
    <x:xf numFmtId="0" fontId="1" fillId="2" borderId="10" xfId="0" applyNumberFormat="1" applyFont="1" applyFill="1" applyBorder="1"/>
    <x:xf numFmtId="202" fontId="0" fillId="0" borderId="11" xfId="0" applyNumberFormat="1" applyFont="1" applyFill="1" applyBorder="1"/>
    <x:xf numFmtId="202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fa4fe32a484b69" /><Relationship Type="http://schemas.openxmlformats.org/officeDocument/2006/relationships/theme" Target="/xl/theme/theme1.xml" Id="R740ad136a7714081" /><Relationship Type="http://schemas.openxmlformats.org/officeDocument/2006/relationships/sharedStrings" Target="/xl/sharedStrings.xml" Id="R8408316ece3b41c6" /><Relationship Type="http://schemas.openxmlformats.org/officeDocument/2006/relationships/worksheet" Target="/xl/worksheets/sheet1.xml" Id="R61b2e07acfe74265" /><Relationship Type="http://schemas.openxmlformats.org/officeDocument/2006/relationships/worksheet" Target="/xl/worksheets/sheet2.xml" Id="R0c508130a3784072" /></Relationships>
</file>

<file path=xl/tables/table1.xml><?xml version="1.0" encoding="utf-8"?>
<x:table xmlns:x="http://schemas.openxmlformats.org/spreadsheetml/2006/main" id="1" name="SalesDataTable" displayName="SalesDataTable" ref="A1:J25" headerRowCount="1" totalsRowCount="0" totalsRowShown="0">
  <x:tableColumns count="10">
    <x:tableColumn id="1" name="Date"/>
    <x:tableColumn id="2" name="Region"/>
    <x:tableColumn id="3" name="Product"/>
    <x:tableColumn id="4" name="Sales Representative"/>
    <x:tableColumn id="5" name="Units Sold"/>
    <x:tableColumn id="6" name="Unit Price (TRY)"/>
    <x:tableColumn id="7" name="Unit Cost (TRY)"/>
    <x:tableColumn id="8" name="Revenue (TRY)"/>
    <x:tableColumn id="9" name="Profit (TRY)"/>
    <x:tableColumn id="10" name="Profit Margi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1ed8d718d948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22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32" customHeight="1">
      <x:c r="A1" s="4" t="str">
        <x:v>Date</x:v>
      </x:c>
      <x:c r="B1" s="4" t="str">
        <x:v>Region</x:v>
      </x:c>
      <x:c r="C1" s="4" t="str">
        <x:v>Product</x:v>
      </x:c>
      <x:c r="D1" s="4" t="str">
        <x:v>Sales Representative</x:v>
      </x:c>
      <x:c r="E1" s="4" t="str">
        <x:v>Units Sold</x:v>
      </x:c>
      <x:c r="F1" s="4" t="str">
        <x:v>Unit Price (TRY)</x:v>
      </x:c>
      <x:c r="G1" s="4" t="str">
        <x:v>Unit Cost (TRY)</x:v>
      </x:c>
      <x:c r="H1" s="4" t="str">
        <x:v>Revenue (TRY)</x:v>
      </x:c>
      <x:c r="I1" s="4" t="str">
        <x:v>Profit (TRY)</x:v>
      </x:c>
      <x:c r="J1" s="4" t="str">
        <x:v>Profit Margin</x:v>
      </x:c>
    </x:row>
    <x:row r="2">
      <x:c r="A2" s="8" t="n">
        <x:v>46027</x:v>
      </x:c>
      <x:c r="B2" s="5" t="str">
        <x:v>Marmara</x:v>
      </x:c>
      <x:c r="C2" s="5" t="str">
        <x:v>Laptop</x:v>
      </x:c>
      <x:c r="D2" s="5" t="str">
        <x:v>Ayşe</x:v>
      </x:c>
      <x:c r="E2" s="11" t="n">
        <x:v>8</x:v>
      </x:c>
      <x:c r="F2" s="14" t="n">
        <x:v>32000</x:v>
      </x:c>
      <x:c r="G2" s="14" t="n">
        <x:v>25500</x:v>
      </x:c>
      <x:c r="H2" s="14" t="n">
        <x:f>E2*F2</x:f>
        <x:v>256000</x:v>
      </x:c>
      <x:c r="I2" s="14" t="n">
        <x:f>H2-(E2*G2)</x:f>
        <x:v>52000</x:v>
      </x:c>
      <x:c r="J2" s="17" t="n">
        <x:f>IF(H2=0,0,I2/H2)</x:f>
        <x:v>0.203125</x:v>
      </x:c>
    </x:row>
    <x:row r="3">
      <x:c r="A3" s="9" t="n">
        <x:v>46034</x:v>
      </x:c>
      <x:c r="B3" s="6" t="str">
        <x:v>Ege</x:v>
      </x:c>
      <x:c r="C3" s="6" t="str">
        <x:v>Monitor</x:v>
      </x:c>
      <x:c r="D3" s="6" t="str">
        <x:v>Mehmet</x:v>
      </x:c>
      <x:c r="E3" s="12" t="n">
        <x:v>15</x:v>
      </x:c>
      <x:c r="F3" s="15" t="n">
        <x:v>7200</x:v>
      </x:c>
      <x:c r="G3" s="15" t="n">
        <x:v>5100</x:v>
      </x:c>
      <x:c r="H3" s="15" t="n">
        <x:f>E3*F3</x:f>
        <x:v>108000</x:v>
      </x:c>
      <x:c r="I3" s="15" t="n">
        <x:f>H3-(E3*G3)</x:f>
        <x:v>31500</x:v>
      </x:c>
      <x:c r="J3" s="18" t="n">
        <x:f>IF(H3=0,0,I3/H3)</x:f>
        <x:v>0.2916666666666667</x:v>
      </x:c>
    </x:row>
    <x:row r="4">
      <x:c r="A4" s="9" t="n">
        <x:v>46041</x:v>
      </x:c>
      <x:c r="B4" s="6" t="str">
        <x:v>İç Anadolu</x:v>
      </x:c>
      <x:c r="C4" s="6" t="str">
        <x:v>Keyboard</x:v>
      </x:c>
      <x:c r="D4" s="6" t="str">
        <x:v>Zeynep</x:v>
      </x:c>
      <x:c r="E4" s="12" t="n">
        <x:v>30</x:v>
      </x:c>
      <x:c r="F4" s="15" t="n">
        <x:v>1800</x:v>
      </x:c>
      <x:c r="G4" s="15" t="n">
        <x:v>1050</x:v>
      </x:c>
      <x:c r="H4" s="15" t="n">
        <x:f>E4*F4</x:f>
        <x:v>54000</x:v>
      </x:c>
      <x:c r="I4" s="15" t="n">
        <x:f>H4-(E4*G4)</x:f>
        <x:v>22500</x:v>
      </x:c>
      <x:c r="J4" s="18" t="n">
        <x:f>IF(H4=0,0,I4/H4)</x:f>
        <x:v>0.4166666666666667</x:v>
      </x:c>
    </x:row>
    <x:row r="5">
      <x:c r="A5" s="9" t="n">
        <x:v>46049</x:v>
      </x:c>
      <x:c r="B5" s="6" t="str">
        <x:v>Akdeniz</x:v>
      </x:c>
      <x:c r="C5" s="6" t="str">
        <x:v>Mouse</x:v>
      </x:c>
      <x:c r="D5" s="6" t="str">
        <x:v>Can</x:v>
      </x:c>
      <x:c r="E5" s="12" t="n">
        <x:v>45</x:v>
      </x:c>
      <x:c r="F5" s="15" t="n">
        <x:v>950</x:v>
      </x:c>
      <x:c r="G5" s="15" t="n">
        <x:v>520</x:v>
      </x:c>
      <x:c r="H5" s="15" t="n">
        <x:f>E5*F5</x:f>
        <x:v>42750</x:v>
      </x:c>
      <x:c r="I5" s="15" t="n">
        <x:f>H5-(E5*G5)</x:f>
        <x:v>19350</x:v>
      </x:c>
      <x:c r="J5" s="18" t="n">
        <x:f>IF(H5=0,0,I5/H5)</x:f>
        <x:v>0.45263157894736844</x:v>
      </x:c>
    </x:row>
    <x:row r="6">
      <x:c r="A6" s="9" t="n">
        <x:v>46056</x:v>
      </x:c>
      <x:c r="B6" s="6" t="str">
        <x:v>Marmara</x:v>
      </x:c>
      <x:c r="C6" s="6" t="str">
        <x:v>Monitor</x:v>
      </x:c>
      <x:c r="D6" s="6" t="str">
        <x:v>Ayşe</x:v>
      </x:c>
      <x:c r="E6" s="12" t="n">
        <x:v>18</x:v>
      </x:c>
      <x:c r="F6" s="15" t="n">
        <x:v>7300</x:v>
      </x:c>
      <x:c r="G6" s="15" t="n">
        <x:v>5150</x:v>
      </x:c>
      <x:c r="H6" s="15" t="n">
        <x:f>E6*F6</x:f>
        <x:v>131400</x:v>
      </x:c>
      <x:c r="I6" s="15" t="n">
        <x:f>H6-(E6*G6)</x:f>
        <x:v>38700</x:v>
      </x:c>
      <x:c r="J6" s="18" t="n">
        <x:f>IF(H6=0,0,I6/H6)</x:f>
        <x:v>0.2945205479452055</x:v>
      </x:c>
    </x:row>
    <x:row r="7">
      <x:c r="A7" s="9" t="n">
        <x:v>46063</x:v>
      </x:c>
      <x:c r="B7" s="6" t="str">
        <x:v>Ege</x:v>
      </x:c>
      <x:c r="C7" s="6" t="str">
        <x:v>Laptop</x:v>
      </x:c>
      <x:c r="D7" s="6" t="str">
        <x:v>Mehmet</x:v>
      </x:c>
      <x:c r="E7" s="12" t="n">
        <x:v>6</x:v>
      </x:c>
      <x:c r="F7" s="15" t="n">
        <x:v>32500</x:v>
      </x:c>
      <x:c r="G7" s="15" t="n">
        <x:v>25800</x:v>
      </x:c>
      <x:c r="H7" s="15" t="n">
        <x:f>E7*F7</x:f>
        <x:v>195000</x:v>
      </x:c>
      <x:c r="I7" s="15" t="n">
        <x:f>H7-(E7*G7)</x:f>
        <x:v>40200</x:v>
      </x:c>
      <x:c r="J7" s="18" t="n">
        <x:f>IF(H7=0,0,I7/H7)</x:f>
        <x:v>0.20615384615384616</x:v>
      </x:c>
    </x:row>
    <x:row r="8">
      <x:c r="A8" s="9" t="n">
        <x:v>46070</x:v>
      </x:c>
      <x:c r="B8" s="6" t="str">
        <x:v>İç Anadolu</x:v>
      </x:c>
      <x:c r="C8" s="6" t="str">
        <x:v>Mouse</x:v>
      </x:c>
      <x:c r="D8" s="6" t="str">
        <x:v>Zeynep</x:v>
      </x:c>
      <x:c r="E8" s="12" t="n">
        <x:v>52</x:v>
      </x:c>
      <x:c r="F8" s="15" t="n">
        <x:v>980</x:v>
      </x:c>
      <x:c r="G8" s="15" t="n">
        <x:v>530</x:v>
      </x:c>
      <x:c r="H8" s="15" t="n">
        <x:f>E8*F8</x:f>
        <x:v>50960</x:v>
      </x:c>
      <x:c r="I8" s="15" t="n">
        <x:f>H8-(E8*G8)</x:f>
        <x:v>23400</x:v>
      </x:c>
      <x:c r="J8" s="18" t="n">
        <x:f>IF(H8=0,0,I8/H8)</x:f>
        <x:v>0.45918367346938777</x:v>
      </x:c>
    </x:row>
    <x:row r="9">
      <x:c r="A9" s="9" t="n">
        <x:v>46078</x:v>
      </x:c>
      <x:c r="B9" s="6" t="str">
        <x:v>Akdeniz</x:v>
      </x:c>
      <x:c r="C9" s="6" t="str">
        <x:v>Keyboard</x:v>
      </x:c>
      <x:c r="D9" s="6" t="str">
        <x:v>Can</x:v>
      </x:c>
      <x:c r="E9" s="12" t="n">
        <x:v>28</x:v>
      </x:c>
      <x:c r="F9" s="15" t="n">
        <x:v>1850</x:v>
      </x:c>
      <x:c r="G9" s="15" t="n">
        <x:v>1080</x:v>
      </x:c>
      <x:c r="H9" s="15" t="n">
        <x:f>E9*F9</x:f>
        <x:v>51800</x:v>
      </x:c>
      <x:c r="I9" s="15" t="n">
        <x:f>H9-(E9*G9)</x:f>
        <x:v>21560</x:v>
      </x:c>
      <x:c r="J9" s="18" t="n">
        <x:f>IF(H9=0,0,I9/H9)</x:f>
        <x:v>0.41621621621621624</x:v>
      </x:c>
    </x:row>
    <x:row r="10">
      <x:c r="A10" s="9" t="n">
        <x:v>46085</x:v>
      </x:c>
      <x:c r="B10" s="6" t="str">
        <x:v>Marmara</x:v>
      </x:c>
      <x:c r="C10" s="6" t="str">
        <x:v>Laptop</x:v>
      </x:c>
      <x:c r="D10" s="6" t="str">
        <x:v>Ayşe</x:v>
      </x:c>
      <x:c r="E10" s="12" t="n">
        <x:v>10</x:v>
      </x:c>
      <x:c r="F10" s="15" t="n">
        <x:v>33000</x:v>
      </x:c>
      <x:c r="G10" s="15" t="n">
        <x:v>26000</x:v>
      </x:c>
      <x:c r="H10" s="15" t="n">
        <x:f>E10*F10</x:f>
        <x:v>330000</x:v>
      </x:c>
      <x:c r="I10" s="15" t="n">
        <x:f>H10-(E10*G10)</x:f>
        <x:v>70000</x:v>
      </x:c>
      <x:c r="J10" s="18" t="n">
        <x:f>IF(H10=0,0,I10/H10)</x:f>
        <x:v>0.21212121212121213</x:v>
      </x:c>
    </x:row>
    <x:row r="11">
      <x:c r="A11" s="9" t="n">
        <x:v>46092</x:v>
      </x:c>
      <x:c r="B11" s="6" t="str">
        <x:v>Ege</x:v>
      </x:c>
      <x:c r="C11" s="6" t="str">
        <x:v>Mouse</x:v>
      </x:c>
      <x:c r="D11" s="6" t="str">
        <x:v>Mehmet</x:v>
      </x:c>
      <x:c r="E11" s="12" t="n">
        <x:v>60</x:v>
      </x:c>
      <x:c r="F11" s="15" t="n">
        <x:v>1000</x:v>
      </x:c>
      <x:c r="G11" s="15" t="n">
        <x:v>540</x:v>
      </x:c>
      <x:c r="H11" s="15" t="n">
        <x:f>E11*F11</x:f>
        <x:v>60000</x:v>
      </x:c>
      <x:c r="I11" s="15" t="n">
        <x:f>H11-(E11*G11)</x:f>
        <x:v>27600</x:v>
      </x:c>
      <x:c r="J11" s="18" t="n">
        <x:f>IF(H11=0,0,I11/H11)</x:f>
        <x:v>0.46</x:v>
      </x:c>
    </x:row>
    <x:row r="12">
      <x:c r="A12" s="9" t="n">
        <x:v>46099</x:v>
      </x:c>
      <x:c r="B12" s="6" t="str">
        <x:v>İç Anadolu</x:v>
      </x:c>
      <x:c r="C12" s="6" t="str">
        <x:v>Monitor</x:v>
      </x:c>
      <x:c r="D12" s="6" t="str">
        <x:v>Zeynep</x:v>
      </x:c>
      <x:c r="E12" s="12" t="n">
        <x:v>20</x:v>
      </x:c>
      <x:c r="F12" s="15" t="n">
        <x:v>7500</x:v>
      </x:c>
      <x:c r="G12" s="15" t="n">
        <x:v>5250</x:v>
      </x:c>
      <x:c r="H12" s="15" t="n">
        <x:f>E12*F12</x:f>
        <x:v>150000</x:v>
      </x:c>
      <x:c r="I12" s="15" t="n">
        <x:f>H12-(E12*G12)</x:f>
        <x:v>45000</x:v>
      </x:c>
      <x:c r="J12" s="18" t="n">
        <x:f>IF(H12=0,0,I12/H12)</x:f>
        <x:v>0.3</x:v>
      </x:c>
    </x:row>
    <x:row r="13">
      <x:c r="A13" s="9" t="n">
        <x:v>46107</x:v>
      </x:c>
      <x:c r="B13" s="6" t="str">
        <x:v>Akdeniz</x:v>
      </x:c>
      <x:c r="C13" s="6" t="str">
        <x:v>Laptop</x:v>
      </x:c>
      <x:c r="D13" s="6" t="str">
        <x:v>Can</x:v>
      </x:c>
      <x:c r="E13" s="12" t="n">
        <x:v>7</x:v>
      </x:c>
      <x:c r="F13" s="15" t="n">
        <x:v>32800</x:v>
      </x:c>
      <x:c r="G13" s="15" t="n">
        <x:v>25900</x:v>
      </x:c>
      <x:c r="H13" s="15" t="n">
        <x:f>E13*F13</x:f>
        <x:v>229600</x:v>
      </x:c>
      <x:c r="I13" s="15" t="n">
        <x:f>H13-(E13*G13)</x:f>
        <x:v>48300</x:v>
      </x:c>
      <x:c r="J13" s="18" t="n">
        <x:f>IF(H13=0,0,I13/H13)</x:f>
        <x:v>0.21036585365853658</x:v>
      </x:c>
    </x:row>
    <x:row r="14">
      <x:c r="A14" s="9" t="n">
        <x:v>46114</x:v>
      </x:c>
      <x:c r="B14" s="6" t="str">
        <x:v>Marmara</x:v>
      </x:c>
      <x:c r="C14" s="6" t="str">
        <x:v>Keyboard</x:v>
      </x:c>
      <x:c r="D14" s="6" t="str">
        <x:v>Ayşe</x:v>
      </x:c>
      <x:c r="E14" s="12" t="n">
        <x:v>40</x:v>
      </x:c>
      <x:c r="F14" s="15" t="n">
        <x:v>1900</x:v>
      </x:c>
      <x:c r="G14" s="15" t="n">
        <x:v>1100</x:v>
      </x:c>
      <x:c r="H14" s="15" t="n">
        <x:f>E14*F14</x:f>
        <x:v>76000</x:v>
      </x:c>
      <x:c r="I14" s="15" t="n">
        <x:f>H14-(E14*G14)</x:f>
        <x:v>32000</x:v>
      </x:c>
      <x:c r="J14" s="18" t="n">
        <x:f>IF(H14=0,0,I14/H14)</x:f>
        <x:v>0.42105263157894735</x:v>
      </x:c>
    </x:row>
    <x:row r="15">
      <x:c r="A15" s="9" t="n">
        <x:v>46121</x:v>
      </x:c>
      <x:c r="B15" s="6" t="str">
        <x:v>Ege</x:v>
      </x:c>
      <x:c r="C15" s="6" t="str">
        <x:v>Monitor</x:v>
      </x:c>
      <x:c r="D15" s="6" t="str">
        <x:v>Mehmet</x:v>
      </x:c>
      <x:c r="E15" s="12" t="n">
        <x:v>22</x:v>
      </x:c>
      <x:c r="F15" s="15" t="n">
        <x:v>7600</x:v>
      </x:c>
      <x:c r="G15" s="15" t="n">
        <x:v>5300</x:v>
      </x:c>
      <x:c r="H15" s="15" t="n">
        <x:f>E15*F15</x:f>
        <x:v>167200</x:v>
      </x:c>
      <x:c r="I15" s="15" t="n">
        <x:f>H15-(E15*G15)</x:f>
        <x:v>50600</x:v>
      </x:c>
      <x:c r="J15" s="18" t="n">
        <x:f>IF(H15=0,0,I15/H15)</x:f>
        <x:v>0.3026315789473684</x:v>
      </x:c>
    </x:row>
    <x:row r="16">
      <x:c r="A16" s="9" t="n">
        <x:v>46128</x:v>
      </x:c>
      <x:c r="B16" s="6" t="str">
        <x:v>İç Anadolu</x:v>
      </x:c>
      <x:c r="C16" s="6" t="str">
        <x:v>Laptop</x:v>
      </x:c>
      <x:c r="D16" s="6" t="str">
        <x:v>Zeynep</x:v>
      </x:c>
      <x:c r="E16" s="12" t="n">
        <x:v>9</x:v>
      </x:c>
      <x:c r="F16" s="15" t="n">
        <x:v>33500</x:v>
      </x:c>
      <x:c r="G16" s="15" t="n">
        <x:v>26400</x:v>
      </x:c>
      <x:c r="H16" s="15" t="n">
        <x:f>E16*F16</x:f>
        <x:v>301500</x:v>
      </x:c>
      <x:c r="I16" s="15" t="n">
        <x:f>H16-(E16*G16)</x:f>
        <x:v>63900</x:v>
      </x:c>
      <x:c r="J16" s="18" t="n">
        <x:f>IF(H16=0,0,I16/H16)</x:f>
        <x:v>0.21194029850746268</x:v>
      </x:c>
    </x:row>
    <x:row r="17">
      <x:c r="A17" s="9" t="n">
        <x:v>46136</x:v>
      </x:c>
      <x:c r="B17" s="6" t="str">
        <x:v>Akdeniz</x:v>
      </x:c>
      <x:c r="C17" s="6" t="str">
        <x:v>Mouse</x:v>
      </x:c>
      <x:c r="D17" s="6" t="str">
        <x:v>Can</x:v>
      </x:c>
      <x:c r="E17" s="12" t="n">
        <x:v>70</x:v>
      </x:c>
      <x:c r="F17" s="15" t="n">
        <x:v>1020</x:v>
      </x:c>
      <x:c r="G17" s="15" t="n">
        <x:v>550</x:v>
      </x:c>
      <x:c r="H17" s="15" t="n">
        <x:f>E17*F17</x:f>
        <x:v>71400</x:v>
      </x:c>
      <x:c r="I17" s="15" t="n">
        <x:f>H17-(E17*G17)</x:f>
        <x:v>32900</x:v>
      </x:c>
      <x:c r="J17" s="18" t="n">
        <x:f>IF(H17=0,0,I17/H17)</x:f>
        <x:v>0.46078431372549017</x:v>
      </x:c>
    </x:row>
    <x:row r="18">
      <x:c r="A18" s="9" t="n">
        <x:v>46147</x:v>
      </x:c>
      <x:c r="B18" s="6" t="str">
        <x:v>Marmara</x:v>
      </x:c>
      <x:c r="C18" s="6" t="str">
        <x:v>Monitor</x:v>
      </x:c>
      <x:c r="D18" s="6" t="str">
        <x:v>Ayşe</x:v>
      </x:c>
      <x:c r="E18" s="12" t="n">
        <x:v>25</x:v>
      </x:c>
      <x:c r="F18" s="15" t="n">
        <x:v>7700</x:v>
      </x:c>
      <x:c r="G18" s="15" t="n">
        <x:v>5350</x:v>
      </x:c>
      <x:c r="H18" s="15" t="n">
        <x:f>E18*F18</x:f>
        <x:v>192500</x:v>
      </x:c>
      <x:c r="I18" s="15" t="n">
        <x:f>H18-(E18*G18)</x:f>
        <x:v>58750</x:v>
      </x:c>
      <x:c r="J18" s="18" t="n">
        <x:f>IF(H18=0,0,I18/H18)</x:f>
        <x:v>0.3051948051948052</x:v>
      </x:c>
    </x:row>
    <x:row r="19">
      <x:c r="A19" s="9" t="n">
        <x:v>46154</x:v>
      </x:c>
      <x:c r="B19" s="6" t="str">
        <x:v>Ege</x:v>
      </x:c>
      <x:c r="C19" s="6" t="str">
        <x:v>Keyboard</x:v>
      </x:c>
      <x:c r="D19" s="6" t="str">
        <x:v>Mehmet</x:v>
      </x:c>
      <x:c r="E19" s="12" t="n">
        <x:v>38</x:v>
      </x:c>
      <x:c r="F19" s="15" t="n">
        <x:v>1950</x:v>
      </x:c>
      <x:c r="G19" s="15" t="n">
        <x:v>1120</x:v>
      </x:c>
      <x:c r="H19" s="15" t="n">
        <x:f>E19*F19</x:f>
        <x:v>74100</x:v>
      </x:c>
      <x:c r="I19" s="15" t="n">
        <x:f>H19-(E19*G19)</x:f>
        <x:v>31540</x:v>
      </x:c>
      <x:c r="J19" s="18" t="n">
        <x:f>IF(H19=0,0,I19/H19)</x:f>
        <x:v>0.4256410256410256</x:v>
      </x:c>
    </x:row>
    <x:row r="20">
      <x:c r="A20" s="9" t="n">
        <x:v>46162</x:v>
      </x:c>
      <x:c r="B20" s="6" t="str">
        <x:v>İç Anadolu</x:v>
      </x:c>
      <x:c r="C20" s="6" t="str">
        <x:v>Mouse</x:v>
      </x:c>
      <x:c r="D20" s="6" t="str">
        <x:v>Zeynep</x:v>
      </x:c>
      <x:c r="E20" s="12" t="n">
        <x:v>65</x:v>
      </x:c>
      <x:c r="F20" s="15" t="n">
        <x:v>1050</x:v>
      </x:c>
      <x:c r="G20" s="15" t="n">
        <x:v>560</x:v>
      </x:c>
      <x:c r="H20" s="15" t="n">
        <x:f>E20*F20</x:f>
        <x:v>68250</x:v>
      </x:c>
      <x:c r="I20" s="15" t="n">
        <x:f>H20-(E20*G20)</x:f>
        <x:v>31850</x:v>
      </x:c>
      <x:c r="J20" s="18" t="n">
        <x:f>IF(H20=0,0,I20/H20)</x:f>
        <x:v>0.4666666666666667</x:v>
      </x:c>
    </x:row>
    <x:row r="21">
      <x:c r="A21" s="9" t="n">
        <x:v>46170</x:v>
      </x:c>
      <x:c r="B21" s="6" t="str">
        <x:v>Akdeniz</x:v>
      </x:c>
      <x:c r="C21" s="6" t="str">
        <x:v>Laptop</x:v>
      </x:c>
      <x:c r="D21" s="6" t="str">
        <x:v>Can</x:v>
      </x:c>
      <x:c r="E21" s="12" t="n">
        <x:v>11</x:v>
      </x:c>
      <x:c r="F21" s="15" t="n">
        <x:v>34000</x:v>
      </x:c>
      <x:c r="G21" s="15" t="n">
        <x:v>26700</x:v>
      </x:c>
      <x:c r="H21" s="15" t="n">
        <x:f>E21*F21</x:f>
        <x:v>374000</x:v>
      </x:c>
      <x:c r="I21" s="15" t="n">
        <x:f>H21-(E21*G21)</x:f>
        <x:v>80300</x:v>
      </x:c>
      <x:c r="J21" s="18" t="n">
        <x:f>IF(H21=0,0,I21/H21)</x:f>
        <x:v>0.21470588235294116</x:v>
      </x:c>
    </x:row>
    <x:row r="22">
      <x:c r="A22" s="9" t="n">
        <x:v>46176</x:v>
      </x:c>
      <x:c r="B22" s="6" t="str">
        <x:v>Marmara</x:v>
      </x:c>
      <x:c r="C22" s="6" t="str">
        <x:v>Mouse</x:v>
      </x:c>
      <x:c r="D22" s="6" t="str">
        <x:v>Ayşe</x:v>
      </x:c>
      <x:c r="E22" s="12" t="n">
        <x:v>80</x:v>
      </x:c>
      <x:c r="F22" s="15" t="n">
        <x:v>1080</x:v>
      </x:c>
      <x:c r="G22" s="15" t="n">
        <x:v>575</x:v>
      </x:c>
      <x:c r="H22" s="15" t="n">
        <x:f>E22*F22</x:f>
        <x:v>86400</x:v>
      </x:c>
      <x:c r="I22" s="15" t="n">
        <x:f>H22-(E22*G22)</x:f>
        <x:v>40400</x:v>
      </x:c>
      <x:c r="J22" s="18" t="n">
        <x:f>IF(H22=0,0,I22/H22)</x:f>
        <x:v>0.4675925925925926</x:v>
      </x:c>
    </x:row>
    <x:row r="23">
      <x:c r="A23" s="9" t="n">
        <x:v>46183</x:v>
      </x:c>
      <x:c r="B23" s="6" t="str">
        <x:v>Ege</x:v>
      </x:c>
      <x:c r="C23" s="6" t="str">
        <x:v>Laptop</x:v>
      </x:c>
      <x:c r="D23" s="6" t="str">
        <x:v>Mehmet</x:v>
      </x:c>
      <x:c r="E23" s="12" t="n">
        <x:v>12</x:v>
      </x:c>
      <x:c r="F23" s="15" t="n">
        <x:v>34500</x:v>
      </x:c>
      <x:c r="G23" s="15" t="n">
        <x:v>27000</x:v>
      </x:c>
      <x:c r="H23" s="15" t="n">
        <x:f>E23*F23</x:f>
        <x:v>414000</x:v>
      </x:c>
      <x:c r="I23" s="15" t="n">
        <x:f>H23-(E23*G23)</x:f>
        <x:v>90000</x:v>
      </x:c>
      <x:c r="J23" s="18" t="n">
        <x:f>IF(H23=0,0,I23/H23)</x:f>
        <x:v>0.21739130434782608</x:v>
      </x:c>
    </x:row>
    <x:row r="24">
      <x:c r="A24" s="9" t="n">
        <x:v>46191</x:v>
      </x:c>
      <x:c r="B24" s="6" t="str">
        <x:v>İç Anadolu</x:v>
      </x:c>
      <x:c r="C24" s="6" t="str">
        <x:v>Keyboard</x:v>
      </x:c>
      <x:c r="D24" s="6" t="str">
        <x:v>Zeynep</x:v>
      </x:c>
      <x:c r="E24" s="12" t="n">
        <x:v>50</x:v>
      </x:c>
      <x:c r="F24" s="15" t="n">
        <x:v>2000</x:v>
      </x:c>
      <x:c r="G24" s="15" t="n">
        <x:v>1150</x:v>
      </x:c>
      <x:c r="H24" s="15" t="n">
        <x:f>E24*F24</x:f>
        <x:v>100000</x:v>
      </x:c>
      <x:c r="I24" s="15" t="n">
        <x:f>H24-(E24*G24)</x:f>
        <x:v>42500</x:v>
      </x:c>
      <x:c r="J24" s="18" t="n">
        <x:f>IF(H24=0,0,I24/H24)</x:f>
        <x:v>0.425</x:v>
      </x:c>
    </x:row>
    <x:row r="25">
      <x:c r="A25" s="10" t="n">
        <x:v>46199</x:v>
      </x:c>
      <x:c r="B25" s="7" t="str">
        <x:v>Akdeniz</x:v>
      </x:c>
      <x:c r="C25" s="7" t="str">
        <x:v>Monitor</x:v>
      </x:c>
      <x:c r="D25" s="7" t="str">
        <x:v>Can</x:v>
      </x:c>
      <x:c r="E25" s="13" t="n">
        <x:v>27</x:v>
      </x:c>
      <x:c r="F25" s="16" t="n">
        <x:v>7800</x:v>
      </x:c>
      <x:c r="G25" s="16" t="n">
        <x:v>5400</x:v>
      </x:c>
      <x:c r="H25" s="16" t="n">
        <x:f>E25*F25</x:f>
        <x:v>210600</x:v>
      </x:c>
      <x:c r="I25" s="16" t="n">
        <x:f>H25-(E25*G25)</x:f>
        <x:v>64800</x:v>
      </x:c>
      <x:c r="J25" s="19" t="n">
        <x:f>IF(H25=0,0,I25/H25)</x:f>
        <x:v>0.3076923076923077</x:v>
      </x:c>
    </x:row>
  </x:sheetData>
  <x:pageMargins left="0.7" right="0.7" top="0.75" bottom="0.75" header="0.3" footer="0.3"/>
  <x:tableParts count="1">
    <x:tablePart xmlns:r="http://schemas.openxmlformats.org/officeDocument/2006/relationships" r:id="R4e1ed8d718d948b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</x:cols>
  <x:sheetData>
    <x:row r="1" ht="34" customHeight="1">
      <x:c r="A1" s="23" t="str">
        <x:v>Sales Performance Summary — January to June 2026</x:v>
      </x:c>
      <x:c r="B1" s="23"/>
      <x:c r="C1" s="23"/>
      <x:c r="D1" s="23"/>
      <x:c r="E1" s="23"/>
      <x:c r="F1" s="23"/>
    </x:row>
    <x:row r="3">
      <x:c r="A3" s="27" t="str">
        <x:v>Metric</x:v>
      </x:c>
      <x:c r="B3" s="28" t="str">
        <x:v>Value</x:v>
      </x:c>
      <x:c r="D3" s="27" t="str">
        <x:v>Month</x:v>
      </x:c>
      <x:c r="E3" s="34" t="str">
        <x:v>Revenue (TRY)</x:v>
      </x:c>
      <x:c r="F3" s="28" t="str">
        <x:v>Profit (TRY)</x:v>
      </x:c>
    </x:row>
    <x:row r="4">
      <x:c r="A4" s="29" t="str">
        <x:v>Total Revenue</x:v>
      </x:c>
      <x:c r="B4" s="30" t="n">
        <x:f>SUM('Sales Data'!H2:H25)</x:f>
        <x:v>3795460</x:v>
      </x:c>
      <x:c r="D4" s="29" t="str">
        <x:v>January</x:v>
      </x:c>
      <x:c r="E4" s="24" t="n">
        <x:f>SUMIFS('Sales Data'!H$2:H$25,'Sales Data'!A$2:A$25,"&gt;="&amp;DATE(2026,1,1),'Sales Data'!A$2:A$25,"&lt;"&amp;DATE(2026,2,1))</x:f>
        <x:v>460750</x:v>
      </x:c>
      <x:c r="F4" s="30" t="n">
        <x:f>SUMIFS('Sales Data'!I$2:I$25,'Sales Data'!A$2:A$25,"&gt;="&amp;DATE(2026,1,1),'Sales Data'!A$2:A$25,"&lt;"&amp;DATE(2026,2,1))</x:f>
        <x:v>125350</x:v>
      </x:c>
    </x:row>
    <x:row r="5">
      <x:c r="A5" s="29" t="str">
        <x:v>Total Profit</x:v>
      </x:c>
      <x:c r="B5" s="30" t="n">
        <x:f>SUM('Sales Data'!I2:I25)</x:f>
        <x:v>1059650</x:v>
      </x:c>
      <x:c r="D5" s="29" t="str">
        <x:v>February</x:v>
      </x:c>
      <x:c r="E5" s="24" t="n">
        <x:f>SUMIFS('Sales Data'!H$2:H$25,'Sales Data'!A$2:A$25,"&gt;="&amp;DATE(2026,2,1),'Sales Data'!A$2:A$25,"&lt;"&amp;DATE(2026,3,1))</x:f>
        <x:v>429160</x:v>
      </x:c>
      <x:c r="F5" s="30" t="n">
        <x:f>SUMIFS('Sales Data'!I$2:I$25,'Sales Data'!A$2:A$25,"&gt;="&amp;DATE(2026,2,1),'Sales Data'!A$2:A$25,"&lt;"&amp;DATE(2026,3,1))</x:f>
        <x:v>123860</x:v>
      </x:c>
    </x:row>
    <x:row r="6">
      <x:c r="A6" s="29" t="str">
        <x:v>Total Units Sold</x:v>
      </x:c>
      <x:c r="B6" s="31" t="n">
        <x:f>SUM('Sales Data'!E2:E25)</x:f>
        <x:v>748</x:v>
      </x:c>
      <x:c r="D6" s="29" t="str">
        <x:v>March</x:v>
      </x:c>
      <x:c r="E6" s="24" t="n">
        <x:f>SUMIFS('Sales Data'!H$2:H$25,'Sales Data'!A$2:A$25,"&gt;="&amp;DATE(2026,3,1),'Sales Data'!A$2:A$25,"&lt;"&amp;DATE(2026,4,1))</x:f>
        <x:v>769600</x:v>
      </x:c>
      <x:c r="F6" s="30" t="n">
        <x:f>SUMIFS('Sales Data'!I$2:I$25,'Sales Data'!A$2:A$25,"&gt;="&amp;DATE(2026,3,1),'Sales Data'!A$2:A$25,"&lt;"&amp;DATE(2026,4,1))</x:f>
        <x:v>190900</x:v>
      </x:c>
    </x:row>
    <x:row r="7">
      <x:c r="A7" s="32" t="str">
        <x:v>Overall Profit Margin</x:v>
      </x:c>
      <x:c r="B7" s="33" t="n">
        <x:f>IF(B4=0,0,B5/B4)</x:f>
        <x:v>0.27918882032744385</x:v>
      </x:c>
      <x:c r="D7" s="29" t="str">
        <x:v>April</x:v>
      </x:c>
      <x:c r="E7" s="24" t="n">
        <x:f>SUMIFS('Sales Data'!H$2:H$25,'Sales Data'!A$2:A$25,"&gt;="&amp;DATE(2026,4,1),'Sales Data'!A$2:A$25,"&lt;"&amp;DATE(2026,5,1))</x:f>
        <x:v>616100</x:v>
      </x:c>
      <x:c r="F7" s="30" t="n">
        <x:f>SUMIFS('Sales Data'!I$2:I$25,'Sales Data'!A$2:A$25,"&gt;="&amp;DATE(2026,4,1),'Sales Data'!A$2:A$25,"&lt;"&amp;DATE(2026,5,1))</x:f>
        <x:v>179400</x:v>
      </x:c>
    </x:row>
    <x:row r="8">
      <x:c r="D8" s="29" t="str">
        <x:v>May</x:v>
      </x:c>
      <x:c r="E8" s="24" t="n">
        <x:f>SUMIFS('Sales Data'!H$2:H$25,'Sales Data'!A$2:A$25,"&gt;="&amp;DATE(2026,5,1),'Sales Data'!A$2:A$25,"&lt;"&amp;DATE(2026,6,1))</x:f>
        <x:v>708850</x:v>
      </x:c>
      <x:c r="F8" s="30" t="n">
        <x:f>SUMIFS('Sales Data'!I$2:I$25,'Sales Data'!A$2:A$25,"&gt;="&amp;DATE(2026,5,1),'Sales Data'!A$2:A$25,"&lt;"&amp;DATE(2026,6,1))</x:f>
        <x:v>202440</x:v>
      </x:c>
    </x:row>
    <x:row r="9">
      <x:c r="D9" s="32" t="str">
        <x:v>June</x:v>
      </x:c>
      <x:c r="E9" s="35" t="n">
        <x:f>SUMIFS('Sales Data'!H$2:H$25,'Sales Data'!A$2:A$25,"&gt;="&amp;DATE(2026,6,1),'Sales Data'!A$2:A$25,"&lt;"&amp;DATE(2026,7,1))</x:f>
        <x:v>811000</x:v>
      </x:c>
      <x:c r="F9" s="36" t="n">
        <x:f>SUMIFS('Sales Data'!I$2:I$25,'Sales Data'!A$2:A$25,"&gt;="&amp;DATE(2026,6,1),'Sales Data'!A$2:A$25,"&lt;"&amp;DATE(2026,7,1))</x:f>
        <x:v>237700</x:v>
      </x:c>
    </x:row>
  </x:sheetData>
  <x:mergeCells>
    <x:mergeCell ref="A1:F1"/>
  </x:mergeCells>
  <x:pageMargins left="0.7" right="0.7" top="0.75" bottom="0.75" header="0.3" footer="0.3"/>
</x:worksheet>
</file>